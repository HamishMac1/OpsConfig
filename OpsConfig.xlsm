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Shared drives\Operations UK\VBA\OpsConfig\"/>
    </mc:Choice>
  </mc:AlternateContent>
  <bookViews>
    <workbookView xWindow="-120" yWindow="-120" windowWidth="29040" windowHeight="16440"/>
  </bookViews>
  <sheets>
    <sheet name="Config" sheetId="1" r:id="rId1"/>
    <sheet name="Sheet1" sheetId="2" r:id="rId2"/>
    <sheet name="Tests" sheetId="3" r:id="rId3"/>
    <sheet name="Config (2)" sheetId="4" r:id="rId4"/>
  </sheets>
  <functionGroups builtInGroupCount="18"/>
  <definedNames>
    <definedName name="_Outlook" localSheetId="3">'Config (2)'!$B$3</definedName>
    <definedName name="_Outlook" localSheetId="2">Tests!$B$3</definedName>
    <definedName name="_Outlook">Config!$B$3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2" l="1"/>
  <c r="C4" i="2" s="1"/>
  <c r="B4" i="2" s="1"/>
  <c r="C5" i="2" s="1"/>
  <c r="D5" i="2" s="1"/>
  <c r="D3" i="2" l="1"/>
</calcChain>
</file>

<file path=xl/sharedStrings.xml><?xml version="1.0" encoding="utf-8"?>
<sst xmlns="http://schemas.openxmlformats.org/spreadsheetml/2006/main" count="104" uniqueCount="34">
  <si>
    <t>Outlook</t>
  </si>
  <si>
    <t>Source Dir</t>
  </si>
  <si>
    <t>Search String2</t>
  </si>
  <si>
    <t>Search String3</t>
  </si>
  <si>
    <t>Search String4</t>
  </si>
  <si>
    <t>Destination Dir</t>
  </si>
  <si>
    <t>Securities_Transaction_Statement-</t>
  </si>
  <si>
    <t>SenderDomain</t>
  </si>
  <si>
    <t>sparkasse-bank-malta.com</t>
  </si>
  <si>
    <t>One col for each attachement</t>
  </si>
  <si>
    <t>Add TimeStamp?</t>
  </si>
  <si>
    <t>Subject</t>
  </si>
  <si>
    <t>enfusionsystems.com</t>
  </si>
  <si>
    <t>PROD GL Cash Transactions FWD Report</t>
  </si>
  <si>
    <t>G:\Shared drives\Operations UK\Exported_Data\Test\</t>
  </si>
  <si>
    <t>PROD_GL Cash Transactions FWD</t>
  </si>
  <si>
    <t>GL Cash Transactions</t>
  </si>
  <si>
    <t>PROD Cash Balances PBD TradeDate Report</t>
  </si>
  <si>
    <t>PROD Cash Balances PBD Report</t>
  </si>
  <si>
    <t>Sparkasse</t>
  </si>
  <si>
    <t>Cash Transaction Statement</t>
  </si>
  <si>
    <t>xls</t>
  </si>
  <si>
    <t>outlook.com</t>
  </si>
  <si>
    <t xml:space="preserve">Provisional </t>
  </si>
  <si>
    <t>pdf</t>
  </si>
  <si>
    <t>Inbox</t>
  </si>
  <si>
    <t>emailTest max items</t>
  </si>
  <si>
    <t>Securities Transaction Statement</t>
  </si>
  <si>
    <t>Account Closing Balance Report</t>
  </si>
  <si>
    <t>Enfusion Jobs</t>
  </si>
  <si>
    <t>Overwrite existing?</t>
  </si>
  <si>
    <t>H:\Shared drives\Operations UK\Exported_Data\Sparkasse\</t>
  </si>
  <si>
    <t>H:\Shared drives\Operations UK\Exported_Data\Enfusion\</t>
  </si>
  <si>
    <t>H:\Shared drives\Operations UK\Exported_Data\Test\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</si>
</sst>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16" fontId="0" fillId="0" borderId="0" xfId="0" applyNumberFormat="1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2"/>
  <sheetViews>
    <sheetView showGridLines="0"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12" sqref="D12"/>
    </sheetView>
  </sheetViews>
  <sheetFormatPr defaultRowHeight="15" x14ac:dyDescent="0.25"/>
  <cols>
    <col min="2" max="2" width="22.140625" customWidth="1"/>
    <col min="3" max="4" width="54.140625" bestFit="1" customWidth="1"/>
    <col min="5" max="5" width="54.140625" style="3" bestFit="1" customWidth="1"/>
    <col min="6" max="7" width="13.5703125" style="3" bestFit="1" customWidth="1"/>
    <col min="8" max="9" width="9.140625" style="3"/>
  </cols>
  <sheetData>
    <row r="1" spans="1:10" x14ac:dyDescent="0.25">
      <c r="B1" t="s">
        <v>9</v>
      </c>
    </row>
    <row r="2" spans="1:10" x14ac:dyDescent="0.25">
      <c r="B2" t="s">
        <v>0</v>
      </c>
    </row>
    <row r="3" spans="1:10" x14ac:dyDescent="0.25">
      <c r="A3" s="1">
        <v>1</v>
      </c>
      <c r="B3" t="s">
        <v>5</v>
      </c>
      <c r="C3" t="s">
        <v>31</v>
      </c>
      <c r="D3" t="s">
        <v>31</v>
      </c>
      <c r="E3" s="3" t="s">
        <v>31</v>
      </c>
      <c r="F3" s="3" t="s">
        <v>32</v>
      </c>
      <c r="G3" s="3" t="s">
        <v>32</v>
      </c>
      <c r="H3" s="3" t="s">
        <v>32</v>
      </c>
      <c r="I3" s="3" t="s">
        <v>32</v>
      </c>
      <c r="J3" t="s">
        <v>33</v>
      </c>
    </row>
    <row r="4" spans="1:10" x14ac:dyDescent="0.25">
      <c r="A4" s="1">
        <v>2</v>
      </c>
      <c r="B4" t="s">
        <v>1</v>
      </c>
      <c r="C4" t="s">
        <v>19</v>
      </c>
      <c r="D4" t="s">
        <v>19</v>
      </c>
      <c r="E4" s="3" t="s">
        <v>19</v>
      </c>
      <c r="F4" s="3" t="s">
        <v>29</v>
      </c>
      <c r="G4" s="3" t="s">
        <v>29</v>
      </c>
      <c r="H4" s="3" t="s">
        <v>29</v>
      </c>
      <c r="I4" s="3" t="s">
        <v>29</v>
      </c>
      <c r="J4" s="3" t="s">
        <v>25</v>
      </c>
    </row>
    <row r="5" spans="1:10" x14ac:dyDescent="0.25">
      <c r="A5" s="1">
        <v>3</v>
      </c>
      <c r="B5" t="s">
        <v>7</v>
      </c>
      <c r="C5" t="s">
        <v>8</v>
      </c>
      <c r="D5" t="s">
        <v>8</v>
      </c>
      <c r="E5" s="3" t="s">
        <v>8</v>
      </c>
      <c r="F5" s="3" t="s">
        <v>12</v>
      </c>
      <c r="G5" s="3" t="s">
        <v>12</v>
      </c>
      <c r="H5" s="3" t="s">
        <v>12</v>
      </c>
      <c r="I5" s="3" t="s">
        <v>12</v>
      </c>
      <c r="J5" t="s">
        <v>22</v>
      </c>
    </row>
    <row r="6" spans="1:10" x14ac:dyDescent="0.25">
      <c r="A6" s="1">
        <v>4</v>
      </c>
      <c r="B6" t="s">
        <v>10</v>
      </c>
      <c r="C6" t="b">
        <v>1</v>
      </c>
      <c r="D6" t="b">
        <v>1</v>
      </c>
      <c r="E6" s="3" t="b">
        <v>1</v>
      </c>
      <c r="F6" s="3" t="b">
        <v>0</v>
      </c>
      <c r="G6" s="3" t="b">
        <v>0</v>
      </c>
      <c r="H6" s="3" t="b">
        <v>0</v>
      </c>
      <c r="I6" s="3" t="b">
        <v>0</v>
      </c>
      <c r="J6" t="b">
        <v>0</v>
      </c>
    </row>
    <row r="7" spans="1:10" x14ac:dyDescent="0.25">
      <c r="A7" s="1">
        <v>5</v>
      </c>
      <c r="B7" t="s">
        <v>11</v>
      </c>
      <c r="C7" t="s">
        <v>20</v>
      </c>
      <c r="D7" t="s">
        <v>27</v>
      </c>
      <c r="E7" s="3" t="s">
        <v>28</v>
      </c>
      <c r="F7" s="3" t="s">
        <v>13</v>
      </c>
      <c r="G7" s="3" t="s">
        <v>18</v>
      </c>
      <c r="H7" s="3" t="s">
        <v>17</v>
      </c>
      <c r="I7" s="3" t="s">
        <v>16</v>
      </c>
      <c r="J7" t="s">
        <v>23</v>
      </c>
    </row>
    <row r="8" spans="1:10" x14ac:dyDescent="0.25">
      <c r="A8" s="1">
        <v>6</v>
      </c>
      <c r="B8" t="s">
        <v>2</v>
      </c>
      <c r="C8" t="s">
        <v>21</v>
      </c>
      <c r="D8" t="s">
        <v>21</v>
      </c>
      <c r="G8"/>
      <c r="H8"/>
    </row>
    <row r="9" spans="1:10" x14ac:dyDescent="0.25">
      <c r="A9" s="1">
        <v>7</v>
      </c>
      <c r="B9" t="s">
        <v>3</v>
      </c>
    </row>
    <row r="10" spans="1:10" x14ac:dyDescent="0.25">
      <c r="A10" s="1">
        <v>8</v>
      </c>
      <c r="B10" t="s">
        <v>4</v>
      </c>
    </row>
    <row r="11" spans="1:10" x14ac:dyDescent="0.25">
      <c r="A11" s="1">
        <v>9</v>
      </c>
      <c r="B11" t="s">
        <v>26</v>
      </c>
      <c r="C11" s="1">
        <v>13</v>
      </c>
      <c r="D11" s="1">
        <v>13</v>
      </c>
      <c r="E11" s="3">
        <v>13</v>
      </c>
      <c r="F11" s="3">
        <v>72</v>
      </c>
      <c r="G11" s="3">
        <v>72</v>
      </c>
      <c r="H11" s="3">
        <v>72</v>
      </c>
      <c r="I11" s="3">
        <v>72</v>
      </c>
    </row>
    <row r="12" spans="1:10" x14ac:dyDescent="0.25">
      <c r="A12" s="1">
        <v>10</v>
      </c>
      <c r="B12" t="s">
        <v>30</v>
      </c>
      <c r="C12" s="3" t="b">
        <v>1</v>
      </c>
      <c r="D12" s="3" t="b">
        <v>1</v>
      </c>
      <c r="E12" s="3" t="b">
        <v>1</v>
      </c>
      <c r="F12" s="3" t="b">
        <v>0</v>
      </c>
      <c r="G12" s="3" t="b">
        <v>0</v>
      </c>
      <c r="H12" s="3" t="b">
        <v>0</v>
      </c>
      <c r="I12" s="3" t="b">
        <v>0</v>
      </c>
      <c r="J12" s="3" t="b">
        <v>1</v>
      </c>
    </row>
  </sheetData>
  <dataConsolidate/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5"/>
  <sheetViews>
    <sheetView workbookViewId="0">
      <selection activeCell="V9" sqref="V9"/>
    </sheetView>
  </sheetViews>
  <sheetFormatPr defaultRowHeight="15" x14ac:dyDescent="0.25"/>
  <sheetData>
    <row r="2" spans="2:4" x14ac:dyDescent="0.25">
      <c r="B2" s="2">
        <v>45131</v>
      </c>
    </row>
    <row r="3" spans="2:4" x14ac:dyDescent="0.25">
      <c r="B3" s="2">
        <v>45170</v>
      </c>
      <c r="C3">
        <f>B3-B2</f>
        <v>39</v>
      </c>
      <c r="D3">
        <f>C3/7</f>
        <v>5.5714285714285712</v>
      </c>
    </row>
    <row r="4" spans="2:4" x14ac:dyDescent="0.25">
      <c r="B4" s="2">
        <f>B2+C4</f>
        <v>45150.5</v>
      </c>
      <c r="C4">
        <f>C3/2</f>
        <v>19.5</v>
      </c>
    </row>
    <row r="5" spans="2:4" x14ac:dyDescent="0.25">
      <c r="B5" s="2">
        <v>45098</v>
      </c>
      <c r="C5">
        <f>B4-B5</f>
        <v>52.5</v>
      </c>
      <c r="D5">
        <f>C5/7</f>
        <v>7.5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"/>
  <sheetViews>
    <sheetView showGridLines="0" topLeftCell="D1" workbookViewId="0">
      <selection activeCell="F8" sqref="F3:F8"/>
    </sheetView>
  </sheetViews>
  <sheetFormatPr defaultRowHeight="15" x14ac:dyDescent="0.25"/>
  <cols>
    <col min="2" max="2" width="22.140625" customWidth="1"/>
    <col min="3" max="3" width="55.140625" bestFit="1" customWidth="1"/>
    <col min="4" max="6" width="54.140625" bestFit="1" customWidth="1"/>
    <col min="7" max="8" width="13.5703125" bestFit="1" customWidth="1"/>
  </cols>
  <sheetData>
    <row r="1" spans="1:7" x14ac:dyDescent="0.25">
      <c r="B1" t="s">
        <v>9</v>
      </c>
    </row>
    <row r="2" spans="1:7" x14ac:dyDescent="0.25">
      <c r="B2" t="s">
        <v>0</v>
      </c>
    </row>
    <row r="3" spans="1:7" x14ac:dyDescent="0.25">
      <c r="A3" s="1">
        <v>1</v>
      </c>
      <c r="B3" t="s">
        <v>5</v>
      </c>
      <c r="C3" t="s">
        <v>14</v>
      </c>
      <c r="D3" t="s">
        <v>14</v>
      </c>
      <c r="E3" t="s">
        <v>14</v>
      </c>
      <c r="F3" t="s">
        <v>14</v>
      </c>
      <c r="G3" t="s">
        <v>14</v>
      </c>
    </row>
    <row r="4" spans="1:7" x14ac:dyDescent="0.25">
      <c r="A4" s="1">
        <v>2</v>
      </c>
      <c r="B4" t="s">
        <v>1</v>
      </c>
    </row>
    <row r="5" spans="1:7" x14ac:dyDescent="0.25">
      <c r="A5" s="1">
        <v>3</v>
      </c>
      <c r="B5" t="s">
        <v>7</v>
      </c>
      <c r="C5" t="s">
        <v>12</v>
      </c>
      <c r="D5" t="s">
        <v>12</v>
      </c>
      <c r="E5" t="s">
        <v>12</v>
      </c>
      <c r="F5" t="s">
        <v>22</v>
      </c>
      <c r="G5" t="s">
        <v>8</v>
      </c>
    </row>
    <row r="6" spans="1:7" x14ac:dyDescent="0.25">
      <c r="A6" s="1">
        <v>4</v>
      </c>
      <c r="B6" t="s">
        <v>10</v>
      </c>
      <c r="C6" t="b">
        <v>0</v>
      </c>
      <c r="D6" t="b">
        <v>0</v>
      </c>
      <c r="E6" t="b">
        <v>0</v>
      </c>
      <c r="F6" t="b">
        <v>0</v>
      </c>
      <c r="G6" t="b">
        <v>1</v>
      </c>
    </row>
    <row r="7" spans="1:7" x14ac:dyDescent="0.25">
      <c r="A7" s="1">
        <v>5</v>
      </c>
      <c r="B7" t="s">
        <v>11</v>
      </c>
      <c r="C7" t="s">
        <v>16</v>
      </c>
      <c r="D7" t="s">
        <v>13</v>
      </c>
      <c r="E7" t="s">
        <v>18</v>
      </c>
      <c r="F7" t="s">
        <v>23</v>
      </c>
      <c r="G7" t="s">
        <v>6</v>
      </c>
    </row>
    <row r="8" spans="1:7" x14ac:dyDescent="0.25">
      <c r="A8" s="1">
        <v>6</v>
      </c>
      <c r="B8" t="s">
        <v>2</v>
      </c>
      <c r="D8" t="s">
        <v>15</v>
      </c>
    </row>
    <row r="9" spans="1:7" x14ac:dyDescent="0.25">
      <c r="A9" s="1">
        <v>7</v>
      </c>
      <c r="B9" t="s">
        <v>3</v>
      </c>
    </row>
    <row r="10" spans="1:7" x14ac:dyDescent="0.25">
      <c r="A10" s="1">
        <v>8</v>
      </c>
      <c r="B10" t="s">
        <v>4</v>
      </c>
    </row>
  </sheetData>
  <dataConsolidate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4"/>
  <sheetViews>
    <sheetView showGridLines="0" topLeftCell="C1" workbookViewId="0">
      <selection activeCell="D3" sqref="D3:G8"/>
    </sheetView>
  </sheetViews>
  <sheetFormatPr defaultRowHeight="15" x14ac:dyDescent="0.25"/>
  <cols>
    <col min="2" max="2" width="22.140625" customWidth="1"/>
    <col min="3" max="3" width="55.140625" bestFit="1" customWidth="1"/>
    <col min="4" max="6" width="54.140625" bestFit="1" customWidth="1"/>
    <col min="7" max="8" width="13.5703125" bestFit="1" customWidth="1"/>
  </cols>
  <sheetData>
    <row r="1" spans="1:7" x14ac:dyDescent="0.25">
      <c r="B1" t="s">
        <v>9</v>
      </c>
    </row>
    <row r="2" spans="1:7" x14ac:dyDescent="0.25">
      <c r="B2" t="s">
        <v>0</v>
      </c>
    </row>
    <row r="3" spans="1:7" x14ac:dyDescent="0.25">
      <c r="A3" s="1">
        <v>1</v>
      </c>
      <c r="B3" t="s">
        <v>5</v>
      </c>
      <c r="C3" t="s">
        <v>14</v>
      </c>
      <c r="D3" t="s">
        <v>14</v>
      </c>
      <c r="E3" t="s">
        <v>14</v>
      </c>
      <c r="F3" t="s">
        <v>14</v>
      </c>
      <c r="G3" t="s">
        <v>14</v>
      </c>
    </row>
    <row r="4" spans="1:7" x14ac:dyDescent="0.25">
      <c r="A4" s="1">
        <v>2</v>
      </c>
      <c r="B4" t="s">
        <v>1</v>
      </c>
      <c r="C4" t="s">
        <v>19</v>
      </c>
    </row>
    <row r="5" spans="1:7" x14ac:dyDescent="0.25">
      <c r="A5" s="1">
        <v>3</v>
      </c>
      <c r="B5" t="s">
        <v>7</v>
      </c>
      <c r="C5" t="s">
        <v>8</v>
      </c>
      <c r="D5" t="s">
        <v>12</v>
      </c>
      <c r="E5" t="s">
        <v>12</v>
      </c>
      <c r="F5" t="s">
        <v>12</v>
      </c>
      <c r="G5" t="s">
        <v>8</v>
      </c>
    </row>
    <row r="6" spans="1:7" x14ac:dyDescent="0.25">
      <c r="A6" s="1">
        <v>4</v>
      </c>
      <c r="B6" t="s">
        <v>10</v>
      </c>
      <c r="C6" t="b">
        <v>0</v>
      </c>
      <c r="D6" t="b">
        <v>0</v>
      </c>
      <c r="E6" t="b">
        <v>0</v>
      </c>
      <c r="F6" t="b">
        <v>0</v>
      </c>
      <c r="G6" t="b">
        <v>1</v>
      </c>
    </row>
    <row r="7" spans="1:7" x14ac:dyDescent="0.25">
      <c r="A7" s="1">
        <v>5</v>
      </c>
      <c r="B7" t="s">
        <v>11</v>
      </c>
      <c r="C7" t="s">
        <v>20</v>
      </c>
      <c r="D7" t="s">
        <v>13</v>
      </c>
      <c r="E7" t="s">
        <v>18</v>
      </c>
      <c r="F7" t="s">
        <v>17</v>
      </c>
      <c r="G7" t="s">
        <v>6</v>
      </c>
    </row>
    <row r="8" spans="1:7" x14ac:dyDescent="0.25">
      <c r="A8" s="1">
        <v>6</v>
      </c>
      <c r="B8" t="s">
        <v>2</v>
      </c>
      <c r="D8" t="s">
        <v>15</v>
      </c>
    </row>
    <row r="9" spans="1:7" x14ac:dyDescent="0.25">
      <c r="A9" s="1">
        <v>7</v>
      </c>
      <c r="B9" t="s">
        <v>3</v>
      </c>
    </row>
    <row r="10" spans="1:7" x14ac:dyDescent="0.25">
      <c r="A10" s="1">
        <v>8</v>
      </c>
      <c r="B10" t="s">
        <v>4</v>
      </c>
    </row>
    <row r="16" spans="1:7" x14ac:dyDescent="0.25">
      <c r="C16" t="s">
        <v>14</v>
      </c>
    </row>
    <row r="17" spans="3:3" x14ac:dyDescent="0.25">
      <c r="C17" t="s">
        <v>25</v>
      </c>
    </row>
    <row r="18" spans="3:3" x14ac:dyDescent="0.25">
      <c r="C18" t="s">
        <v>22</v>
      </c>
    </row>
    <row r="19" spans="3:3" x14ac:dyDescent="0.25">
      <c r="C19" t="b">
        <v>0</v>
      </c>
    </row>
    <row r="20" spans="3:3" x14ac:dyDescent="0.25">
      <c r="C20" t="s">
        <v>23</v>
      </c>
    </row>
    <row r="21" spans="3:3" x14ac:dyDescent="0.25">
      <c r="C21" t="s">
        <v>24</v>
      </c>
    </row>
    <row r="24" spans="3:3" x14ac:dyDescent="0.25">
      <c r="C24" s="1">
        <v>13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Config</vt:lpstr>
      <vt:lpstr>Sheet1</vt:lpstr>
      <vt:lpstr>Tests</vt:lpstr>
      <vt:lpstr>Config (2)</vt:lpstr>
      <vt:lpstr>'Config (2)'!_Outlook</vt:lpstr>
      <vt:lpstr>Tests!_Outlook</vt:lpstr>
      <vt:lpstr>_Outlook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Hamish Macnamara</dc:creator>
  <cp:lastModifiedBy>Vanessa</cp:lastModifiedBy>
  <dcterms:created xsi:type="dcterms:W3CDTF">2023-07-11T19:12:21Z</dcterms:created>
  <dcterms:modified xsi:type="dcterms:W3CDTF">2023-09-06T11:43:28Z</dcterms:modified>
</cp:coreProperties>
</file>