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Shared drives\Operations UK\VBA\OpsConfig\"/>
    </mc:Choice>
  </mc:AlternateContent>
  <xr:revisionPtr revIDLastSave="0" documentId="13_ncr:1_{401B6542-0F86-4B10-9B7C-3070361BB2C8}" xr6:coauthVersionLast="47" xr6:coauthVersionMax="47" xr10:uidLastSave="{00000000-0000-0000-0000-000000000000}"/>
  <bookViews>
    <workbookView xWindow="-15870" yWindow="-16320" windowWidth="29040" windowHeight="16440" xr2:uid="{00000000-000D-0000-FFFF-FFFF00000000}"/>
  </bookViews>
  <sheets>
    <sheet name="Config" sheetId="1" r:id="rId1"/>
    <sheet name="Sheet1" sheetId="2" r:id="rId2"/>
    <sheet name="Tests" sheetId="3" r:id="rId3"/>
  </sheets>
  <functionGroups builtInGroupCount="19"/>
  <definedNames>
    <definedName name="_Outlook" localSheetId="2">Tests!$B$3</definedName>
    <definedName name="_Outlook">Config!$B$3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" l="1"/>
  <c r="C4" i="2" s="1"/>
  <c r="B4" i="2" s="1"/>
  <c r="C5" i="2" s="1"/>
  <c r="D5" i="2" s="1"/>
  <c r="D3" i="2" l="1"/>
</calcChain>
</file>

<file path=xl/sharedStrings.xml><?xml version="1.0" encoding="utf-8"?>
<sst xmlns="http://schemas.openxmlformats.org/spreadsheetml/2006/main" count="53" uniqueCount="21">
  <si>
    <t>Outlook</t>
  </si>
  <si>
    <t>Source Dir</t>
  </si>
  <si>
    <t>Search String2</t>
  </si>
  <si>
    <t>Search String3</t>
  </si>
  <si>
    <t>Search String4</t>
  </si>
  <si>
    <t>Destination Dir</t>
  </si>
  <si>
    <t>Securities_Transaction_Statement-</t>
  </si>
  <si>
    <t>SenderDomain</t>
  </si>
  <si>
    <t>sparkasse-bank-malta.com</t>
  </si>
  <si>
    <t>One col for each attachement</t>
  </si>
  <si>
    <t>Add TimeStamp?</t>
  </si>
  <si>
    <t>Subject</t>
  </si>
  <si>
    <t>enfusionsystems.com</t>
  </si>
  <si>
    <t>PROD GL Cash Transactions FWD Report</t>
  </si>
  <si>
    <t>G:\Shared drives\Operations UK\Exported_Data\Test\</t>
  </si>
  <si>
    <t>PROD_GL Cash Transactions FWD</t>
  </si>
  <si>
    <t>GL Cash Transactions</t>
  </si>
  <si>
    <t>PROD Cash Balances PBD TradeDate Report</t>
  </si>
  <si>
    <t>PROD Cash Balances PBD Report</t>
  </si>
  <si>
    <t>Sparkasse</t>
  </si>
  <si>
    <t>Cash Transaction Statement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</si>
</sst>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"/>
  <sheetViews>
    <sheetView showGridLines="0" tabSelected="1" workbookViewId="0">
      <selection activeCell="C7" sqref="C7"/>
    </sheetView>
  </sheetViews>
  <sheetFormatPr defaultRowHeight="15" x14ac:dyDescent="0.25"/>
  <cols>
    <col min="2" max="2" width="22.140625" customWidth="1"/>
    <col min="3" max="3" width="55.140625" bestFit="1" customWidth="1"/>
    <col min="4" max="6" width="54.140625" bestFit="1" customWidth="1"/>
    <col min="7" max="8" width="13.5703125" bestFit="1" customWidth="1"/>
  </cols>
  <sheetData>
    <row r="1" spans="1:7" x14ac:dyDescent="0.25">
      <c r="B1" t="s">
        <v>9</v>
      </c>
    </row>
    <row r="2" spans="1:7" x14ac:dyDescent="0.25">
      <c r="B2" t="s">
        <v>0</v>
      </c>
    </row>
    <row r="3" spans="1:7" x14ac:dyDescent="0.25">
      <c r="A3" s="1">
        <v>1</v>
      </c>
      <c r="B3" t="s">
        <v>5</v>
      </c>
      <c r="C3" t="s">
        <v>14</v>
      </c>
      <c r="D3" t="s">
        <v>14</v>
      </c>
      <c r="E3" t="s">
        <v>14</v>
      </c>
      <c r="F3" t="s">
        <v>14</v>
      </c>
      <c r="G3" t="s">
        <v>14</v>
      </c>
    </row>
    <row r="4" spans="1:7" x14ac:dyDescent="0.25">
      <c r="A4" s="1">
        <v>2</v>
      </c>
      <c r="B4" t="s">
        <v>1</v>
      </c>
      <c r="C4" t="s">
        <v>19</v>
      </c>
    </row>
    <row r="5" spans="1:7" x14ac:dyDescent="0.25">
      <c r="A5" s="1">
        <v>3</v>
      </c>
      <c r="B5" t="s">
        <v>7</v>
      </c>
      <c r="C5" t="s">
        <v>8</v>
      </c>
      <c r="D5" t="s">
        <v>12</v>
      </c>
      <c r="E5" t="s">
        <v>12</v>
      </c>
      <c r="F5" t="s">
        <v>12</v>
      </c>
      <c r="G5" t="s">
        <v>8</v>
      </c>
    </row>
    <row r="6" spans="1:7" x14ac:dyDescent="0.25">
      <c r="A6" s="1">
        <v>4</v>
      </c>
      <c r="B6" t="s">
        <v>10</v>
      </c>
      <c r="C6" t="b">
        <v>0</v>
      </c>
      <c r="D6" t="b">
        <v>0</v>
      </c>
      <c r="E6" t="b">
        <v>0</v>
      </c>
      <c r="F6" t="b">
        <v>0</v>
      </c>
      <c r="G6" t="b">
        <v>1</v>
      </c>
    </row>
    <row r="7" spans="1:7" x14ac:dyDescent="0.25">
      <c r="A7" s="1">
        <v>5</v>
      </c>
      <c r="B7" t="s">
        <v>11</v>
      </c>
      <c r="C7" t="s">
        <v>20</v>
      </c>
      <c r="D7" t="s">
        <v>13</v>
      </c>
      <c r="E7" t="s">
        <v>18</v>
      </c>
      <c r="F7" t="s">
        <v>17</v>
      </c>
      <c r="G7" t="s">
        <v>6</v>
      </c>
    </row>
    <row r="8" spans="1:7" x14ac:dyDescent="0.25">
      <c r="A8" s="1">
        <v>6</v>
      </c>
      <c r="B8" t="s">
        <v>2</v>
      </c>
      <c r="D8" t="s">
        <v>15</v>
      </c>
    </row>
    <row r="9" spans="1:7" x14ac:dyDescent="0.25">
      <c r="A9" s="1">
        <v>7</v>
      </c>
      <c r="B9" t="s">
        <v>3</v>
      </c>
    </row>
    <row r="10" spans="1:7" x14ac:dyDescent="0.25">
      <c r="A10" s="1">
        <v>8</v>
      </c>
      <c r="B10" t="s">
        <v>4</v>
      </c>
    </row>
  </sheetData>
  <dataConsolidate/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1598-2C86-4A35-BD75-5E684A7E6E52}">
  <dimension ref="B2:D5"/>
  <sheetViews>
    <sheetView workbookViewId="0">
      <selection activeCell="V9" sqref="V9"/>
    </sheetView>
  </sheetViews>
  <sheetFormatPr defaultRowHeight="15" x14ac:dyDescent="0.25"/>
  <sheetData>
    <row r="2" spans="2:4" x14ac:dyDescent="0.25">
      <c r="B2" s="2">
        <v>45131</v>
      </c>
    </row>
    <row r="3" spans="2:4" x14ac:dyDescent="0.25">
      <c r="B3" s="2">
        <v>45170</v>
      </c>
      <c r="C3">
        <f>B3-B2</f>
        <v>39</v>
      </c>
      <c r="D3">
        <f>C3/7</f>
        <v>5.5714285714285712</v>
      </c>
    </row>
    <row r="4" spans="2:4" x14ac:dyDescent="0.25">
      <c r="B4" s="2">
        <f>B2+C4</f>
        <v>45150.5</v>
      </c>
      <c r="C4">
        <f>C3/2</f>
        <v>19.5</v>
      </c>
    </row>
    <row r="5" spans="2:4" x14ac:dyDescent="0.25">
      <c r="B5" s="2">
        <v>45098</v>
      </c>
      <c r="C5">
        <f>B4-B5</f>
        <v>52.5</v>
      </c>
      <c r="D5">
        <f>C5/7</f>
        <v>7.5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9E77B-5715-4CF4-9306-306385F77F9D}">
  <sheetPr codeName="Sheet2"/>
  <dimension ref="A1:G10"/>
  <sheetViews>
    <sheetView showGridLines="0" workbookViewId="0">
      <selection activeCell="B3" sqref="B3"/>
    </sheetView>
  </sheetViews>
  <sheetFormatPr defaultRowHeight="15" x14ac:dyDescent="0.25"/>
  <cols>
    <col min="2" max="2" width="22.140625" customWidth="1"/>
    <col min="3" max="3" width="55.140625" bestFit="1" customWidth="1"/>
    <col min="4" max="6" width="54.140625" bestFit="1" customWidth="1"/>
    <col min="7" max="8" width="13.5703125" bestFit="1" customWidth="1"/>
  </cols>
  <sheetData>
    <row r="1" spans="1:7" x14ac:dyDescent="0.25">
      <c r="B1" t="s">
        <v>9</v>
      </c>
    </row>
    <row r="2" spans="1:7" x14ac:dyDescent="0.25">
      <c r="B2" t="s">
        <v>0</v>
      </c>
    </row>
    <row r="3" spans="1:7" x14ac:dyDescent="0.25">
      <c r="A3" s="1">
        <v>1</v>
      </c>
      <c r="B3" t="s">
        <v>5</v>
      </c>
      <c r="C3" t="s">
        <v>14</v>
      </c>
      <c r="D3" t="s">
        <v>14</v>
      </c>
      <c r="E3" t="s">
        <v>14</v>
      </c>
      <c r="F3" t="s">
        <v>14</v>
      </c>
      <c r="G3" t="s">
        <v>14</v>
      </c>
    </row>
    <row r="4" spans="1:7" x14ac:dyDescent="0.25">
      <c r="A4" s="1">
        <v>2</v>
      </c>
      <c r="B4" t="s">
        <v>1</v>
      </c>
    </row>
    <row r="5" spans="1:7" x14ac:dyDescent="0.25">
      <c r="A5" s="1">
        <v>3</v>
      </c>
      <c r="B5" t="s">
        <v>7</v>
      </c>
      <c r="C5" t="s">
        <v>12</v>
      </c>
      <c r="D5" t="s">
        <v>12</v>
      </c>
      <c r="E5" t="s">
        <v>12</v>
      </c>
      <c r="F5" t="s">
        <v>12</v>
      </c>
      <c r="G5" t="s">
        <v>8</v>
      </c>
    </row>
    <row r="6" spans="1:7" x14ac:dyDescent="0.25">
      <c r="A6" s="1">
        <v>4</v>
      </c>
      <c r="B6" t="s">
        <v>10</v>
      </c>
      <c r="C6" t="b">
        <v>0</v>
      </c>
      <c r="D6" t="b">
        <v>0</v>
      </c>
      <c r="E6" t="b">
        <v>0</v>
      </c>
      <c r="F6" t="b">
        <v>0</v>
      </c>
      <c r="G6" t="b">
        <v>1</v>
      </c>
    </row>
    <row r="7" spans="1:7" x14ac:dyDescent="0.25">
      <c r="A7" s="1">
        <v>5</v>
      </c>
      <c r="B7" t="s">
        <v>11</v>
      </c>
      <c r="C7" t="s">
        <v>16</v>
      </c>
      <c r="D7" t="s">
        <v>13</v>
      </c>
      <c r="E7" t="s">
        <v>18</v>
      </c>
      <c r="F7" t="s">
        <v>17</v>
      </c>
      <c r="G7" t="s">
        <v>6</v>
      </c>
    </row>
    <row r="8" spans="1:7" x14ac:dyDescent="0.25">
      <c r="A8" s="1">
        <v>6</v>
      </c>
      <c r="B8" t="s">
        <v>2</v>
      </c>
      <c r="D8" t="s">
        <v>15</v>
      </c>
    </row>
    <row r="9" spans="1:7" x14ac:dyDescent="0.25">
      <c r="A9" s="1">
        <v>7</v>
      </c>
      <c r="B9" t="s">
        <v>3</v>
      </c>
    </row>
    <row r="10" spans="1:7" x14ac:dyDescent="0.25">
      <c r="A10" s="1">
        <v>8</v>
      </c>
      <c r="B10" t="s">
        <v>4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Config</vt:lpstr>
      <vt:lpstr>Sheet1</vt:lpstr>
      <vt:lpstr>Tests</vt:lpstr>
      <vt:lpstr>Tests!_Outlook</vt:lpstr>
      <vt:lpstr>_Outlook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Hamish Macnamara</dc:creator>
  <cp:lastModifiedBy>Hamish Macnamara</cp:lastModifiedBy>
  <dcterms:created xsi:type="dcterms:W3CDTF">2023-07-11T19:12:21Z</dcterms:created>
  <dcterms:modified xsi:type="dcterms:W3CDTF">2023-08-08T16:29:58Z</dcterms:modified>
</cp:coreProperties>
</file>